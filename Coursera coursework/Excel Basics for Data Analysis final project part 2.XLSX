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flieder\Desktop\"/>
    </mc:Choice>
  </mc:AlternateContent>
  <bookViews>
    <workbookView xWindow="0" yWindow="0" windowWidth="28800" windowHeight="12144" activeTab="2"/>
  </bookViews>
  <sheets>
    <sheet name="Pivot Table 1" sheetId="2" r:id="rId1"/>
    <sheet name="Pivot Table 2" sheetId="5" r:id="rId2"/>
    <sheet name="Pivot Table 3" sheetId="6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62913"/>
  <pivotCaches>
    <pivotCache cacheId="4" r:id="rId5"/>
  </pivotCaches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<sst xmlns="http://schemas.openxmlformats.org/spreadsheetml/2006/main" count="165" uniqueCount="37">
  <si>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</si>
  <si>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</si>
  <si>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</si>
  <si>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</si>
  <si>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</si>
  <si>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</si>
  <si>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</si>
  <si>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</si>
  <si>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</si>
  <si>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</si>
  <si>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</si>
  <si>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</si>
  <si>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</si>
  <si>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</si>
  <si>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</si>
  <si>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</si>
  <si>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</si>
  <si>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</si>
  <si>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</si>
  <si>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</si>
  <si>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</si>
  <si>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</si>
  <si>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</si>
  <si>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</si>
  <si>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</si>
  <si>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</si>
  <si>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</si>
  <si>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</si>
  <si>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</si>
  <si>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SUM:</t>
  </si>
  <si>
    <t>AVERAGE:</t>
  </si>
  <si>
    <t>MIN:</t>
  </si>
  <si>
    <t>MAX:</t>
  </si>
  <si>
    <t>COUNT: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</si>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</sst>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shua Flieder" refreshedDate="44725.627063194443" createdVersion="6" refreshedVersion="6" minRefreshableVersion="3" recordCount="49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1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numFmtI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numFmtI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50" totalsRowShown="0">
  <autoFilter ref="A1:C50"/>
  <tableColumns count="3">
    <tableColumn id="1" name="Department"/>
    <tableColumn id="2" name="Equipment Class"/>
    <tableColumn id="3" name="Equipment Coun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B4" sqref="B4"/>
    </sheetView>
  </sheetViews>
  <sheetFormatPr defaultRowHeight="14.4" x14ac:dyDescent="0.3"/>
  <cols>
    <col min="1" max="1" width="26.88671875" bestFit="1" customWidth="1"/>
    <col min="2" max="2" width="22.5546875" bestFit="1" customWidth="1"/>
    <col min="3" max="10" width="2" customWidth="1"/>
    <col min="11" max="25" width="3" customWidth="1"/>
    <col min="26" max="28" width="4" customWidth="1"/>
    <col min="29" max="29" width="10.77734375" bestFit="1" customWidth="1"/>
  </cols>
  <sheetData>
    <row r="3" spans="1:2" x14ac:dyDescent="0.3">
      <c r="A3" s="2" t="s">
        <v>34</v>
      </c>
      <c r="B3" t="s">
        <v>36</v>
      </c>
    </row>
    <row r="4" spans="1:2" x14ac:dyDescent="0.3">
      <c r="A4" s="3" t="s">
        <v>26</v>
      </c>
      <c r="B4" s="4">
        <v>1221</v>
      </c>
    </row>
    <row r="5" spans="1:2" x14ac:dyDescent="0.3">
      <c r="A5" s="3" t="s">
        <v>15</v>
      </c>
      <c r="B5" s="4">
        <v>109</v>
      </c>
    </row>
    <row r="6" spans="1:2" x14ac:dyDescent="0.3">
      <c r="A6" s="3" t="s">
        <v>19</v>
      </c>
      <c r="B6" s="4">
        <v>85</v>
      </c>
    </row>
    <row r="7" spans="1:2" x14ac:dyDescent="0.3">
      <c r="A7" s="3" t="s">
        <v>12</v>
      </c>
      <c r="B7" s="4">
        <v>56</v>
      </c>
    </row>
    <row r="8" spans="1:2" x14ac:dyDescent="0.3">
      <c r="A8" s="3" t="s">
        <v>5</v>
      </c>
      <c r="B8" s="4">
        <v>45</v>
      </c>
    </row>
    <row r="9" spans="1:2" x14ac:dyDescent="0.3">
      <c r="A9" s="3" t="s">
        <v>18</v>
      </c>
      <c r="B9" s="4">
        <v>35</v>
      </c>
    </row>
    <row r="10" spans="1:2" x14ac:dyDescent="0.3">
      <c r="A10" s="3" t="s">
        <v>25</v>
      </c>
      <c r="B10" s="4">
        <v>16</v>
      </c>
    </row>
    <row r="11" spans="1:2" x14ac:dyDescent="0.3">
      <c r="A11" s="3" t="s">
        <v>9</v>
      </c>
      <c r="B11" s="4">
        <v>6</v>
      </c>
    </row>
    <row r="12" spans="1:2" x14ac:dyDescent="0.3">
      <c r="A12" s="3" t="s">
        <v>24</v>
      </c>
      <c r="B12" s="4">
        <v>5</v>
      </c>
    </row>
    <row r="13" spans="1:2" x14ac:dyDescent="0.3">
      <c r="A13" s="3" t="s">
        <v>8</v>
      </c>
      <c r="B13" s="4">
        <v>2</v>
      </c>
    </row>
    <row r="14" spans="1:2" x14ac:dyDescent="0.3">
      <c r="A14" s="3" t="s">
        <v>14</v>
      </c>
      <c r="B14" s="4">
        <v>1</v>
      </c>
    </row>
    <row r="15" spans="1:2" x14ac:dyDescent="0.3">
      <c r="A15" s="3" t="s">
        <v>17</v>
      </c>
      <c r="B15" s="4">
        <v>1</v>
      </c>
    </row>
    <row r="16" spans="1:2" x14ac:dyDescent="0.3">
      <c r="A16" s="3" t="s">
        <v>35</v>
      </c>
      <c r="B16" s="4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A24" sqref="A24"/>
    </sheetView>
  </sheetViews>
  <sheetFormatPr defaultRowHeight="14.4" x14ac:dyDescent="0.3"/>
  <cols>
    <col min="1" max="1" width="30.109375" bestFit="1" customWidth="1"/>
    <col min="2" max="2" width="22.5546875" bestFit="1" customWidth="1"/>
    <col min="3" max="10" width="2" customWidth="1"/>
    <col min="11" max="25" width="3" customWidth="1"/>
    <col min="26" max="28" width="4" customWidth="1"/>
    <col min="29" max="29" width="10.77734375" bestFit="1" customWidth="1"/>
  </cols>
  <sheetData>
    <row r="3" spans="1:2" x14ac:dyDescent="0.3">
      <c r="A3" s="2" t="s">
        <v>34</v>
      </c>
      <c r="B3" t="s">
        <v>36</v>
      </c>
    </row>
    <row r="4" spans="1:2" x14ac:dyDescent="0.3">
      <c r="A4" s="3" t="s">
        <v>26</v>
      </c>
      <c r="B4" s="4">
        <v>1221</v>
      </c>
    </row>
    <row r="5" spans="1:2" x14ac:dyDescent="0.3">
      <c r="A5" s="5" t="s">
        <v>16</v>
      </c>
      <c r="B5" s="4">
        <v>5</v>
      </c>
    </row>
    <row r="6" spans="1:2" x14ac:dyDescent="0.3">
      <c r="A6" s="5" t="s">
        <v>13</v>
      </c>
      <c r="B6" s="4">
        <v>248</v>
      </c>
    </row>
    <row r="7" spans="1:2" x14ac:dyDescent="0.3">
      <c r="A7" s="5" t="s">
        <v>11</v>
      </c>
      <c r="B7" s="4">
        <v>98</v>
      </c>
    </row>
    <row r="8" spans="1:2" x14ac:dyDescent="0.3">
      <c r="A8" s="5" t="s">
        <v>28</v>
      </c>
      <c r="B8" s="4">
        <v>276</v>
      </c>
    </row>
    <row r="9" spans="1:2" x14ac:dyDescent="0.3">
      <c r="A9" s="5" t="s">
        <v>6</v>
      </c>
      <c r="B9" s="4">
        <v>93</v>
      </c>
    </row>
    <row r="10" spans="1:2" x14ac:dyDescent="0.3">
      <c r="A10" s="5" t="s">
        <v>4</v>
      </c>
      <c r="B10" s="4">
        <v>37</v>
      </c>
    </row>
    <row r="11" spans="1:2" x14ac:dyDescent="0.3">
      <c r="A11" s="5" t="s">
        <v>7</v>
      </c>
      <c r="B11" s="4">
        <v>53</v>
      </c>
    </row>
    <row r="12" spans="1:2" x14ac:dyDescent="0.3">
      <c r="A12" s="5" t="s">
        <v>27</v>
      </c>
      <c r="B12" s="4">
        <v>379</v>
      </c>
    </row>
    <row r="13" spans="1:2" x14ac:dyDescent="0.3">
      <c r="A13" s="5" t="s">
        <v>10</v>
      </c>
      <c r="B13" s="4">
        <v>32</v>
      </c>
    </row>
    <row r="14" spans="1:2" x14ac:dyDescent="0.3">
      <c r="A14" s="3" t="s">
        <v>15</v>
      </c>
      <c r="B14" s="4">
        <v>109</v>
      </c>
    </row>
    <row r="15" spans="1:2" x14ac:dyDescent="0.3">
      <c r="A15" s="3" t="s">
        <v>19</v>
      </c>
      <c r="B15" s="4">
        <v>85</v>
      </c>
    </row>
    <row r="16" spans="1:2" x14ac:dyDescent="0.3">
      <c r="A16" s="3" t="s">
        <v>12</v>
      </c>
      <c r="B16" s="4">
        <v>56</v>
      </c>
    </row>
    <row r="17" spans="1:2" x14ac:dyDescent="0.3">
      <c r="A17" s="3" t="s">
        <v>5</v>
      </c>
      <c r="B17" s="4">
        <v>45</v>
      </c>
    </row>
    <row r="18" spans="1:2" x14ac:dyDescent="0.3">
      <c r="A18" s="3" t="s">
        <v>18</v>
      </c>
      <c r="B18" s="4">
        <v>35</v>
      </c>
    </row>
    <row r="19" spans="1:2" x14ac:dyDescent="0.3">
      <c r="A19" s="3" t="s">
        <v>25</v>
      </c>
      <c r="B19" s="4">
        <v>16</v>
      </c>
    </row>
    <row r="20" spans="1:2" x14ac:dyDescent="0.3">
      <c r="A20" s="3" t="s">
        <v>9</v>
      </c>
      <c r="B20" s="4">
        <v>6</v>
      </c>
    </row>
    <row r="21" spans="1:2" x14ac:dyDescent="0.3">
      <c r="A21" s="3" t="s">
        <v>24</v>
      </c>
      <c r="B21" s="4">
        <v>5</v>
      </c>
    </row>
    <row r="22" spans="1:2" x14ac:dyDescent="0.3">
      <c r="A22" s="3" t="s">
        <v>8</v>
      </c>
      <c r="B22" s="4">
        <v>2</v>
      </c>
    </row>
    <row r="23" spans="1:2" x14ac:dyDescent="0.3">
      <c r="A23" s="3" t="s">
        <v>14</v>
      </c>
      <c r="B23" s="4">
        <v>1</v>
      </c>
    </row>
    <row r="24" spans="1:2" x14ac:dyDescent="0.3">
      <c r="A24" s="3" t="s">
        <v>17</v>
      </c>
      <c r="B24" s="4">
        <v>1</v>
      </c>
    </row>
    <row r="25" spans="1:2" x14ac:dyDescent="0.3">
      <c r="A25" s="3" t="s">
        <v>35</v>
      </c>
      <c r="B25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tabSelected="1" workbookViewId="0">
      <selection activeCell="A20" sqref="A20"/>
    </sheetView>
  </sheetViews>
  <sheetFormatPr defaultRowHeight="14.4" x14ac:dyDescent="0.3"/>
  <cols>
    <col min="1" max="1" width="27" customWidth="1"/>
    <col min="2" max="2" width="22.5546875" bestFit="1" customWidth="1"/>
    <col min="3" max="10" width="2" customWidth="1"/>
    <col min="11" max="25" width="3" customWidth="1"/>
    <col min="26" max="28" width="4" customWidth="1"/>
    <col min="29" max="29" width="10.77734375" bestFit="1" customWidth="1"/>
  </cols>
  <sheetData>
    <row r="3" spans="1:2" x14ac:dyDescent="0.3">
      <c r="A3" s="2" t="s">
        <v>34</v>
      </c>
      <c r="B3" t="s">
        <v>36</v>
      </c>
    </row>
    <row r="4" spans="1:2" x14ac:dyDescent="0.3">
      <c r="A4" s="3" t="s">
        <v>16</v>
      </c>
      <c r="B4" s="4">
        <v>15</v>
      </c>
    </row>
    <row r="5" spans="1:2" x14ac:dyDescent="0.3">
      <c r="A5" s="5" t="s">
        <v>15</v>
      </c>
      <c r="B5" s="4">
        <v>9</v>
      </c>
    </row>
    <row r="6" spans="1:2" x14ac:dyDescent="0.3">
      <c r="A6" s="5" t="s">
        <v>26</v>
      </c>
      <c r="B6" s="4">
        <v>5</v>
      </c>
    </row>
    <row r="7" spans="1:2" x14ac:dyDescent="0.3">
      <c r="A7" s="5" t="s">
        <v>25</v>
      </c>
      <c r="B7" s="4">
        <v>1</v>
      </c>
    </row>
    <row r="8" spans="1:2" x14ac:dyDescent="0.3">
      <c r="A8" s="3" t="s">
        <v>13</v>
      </c>
      <c r="B8" s="4">
        <v>290</v>
      </c>
    </row>
    <row r="9" spans="1:2" x14ac:dyDescent="0.3">
      <c r="A9" s="3" t="s">
        <v>11</v>
      </c>
      <c r="B9" s="4">
        <v>100</v>
      </c>
    </row>
    <row r="10" spans="1:2" x14ac:dyDescent="0.3">
      <c r="A10" s="3" t="s">
        <v>28</v>
      </c>
      <c r="B10" s="4">
        <v>283</v>
      </c>
    </row>
    <row r="11" spans="1:2" x14ac:dyDescent="0.3">
      <c r="A11" s="3" t="s">
        <v>6</v>
      </c>
      <c r="B11" s="4">
        <v>150</v>
      </c>
    </row>
    <row r="12" spans="1:2" x14ac:dyDescent="0.3">
      <c r="A12" s="3" t="s">
        <v>21</v>
      </c>
      <c r="B12" s="4">
        <v>4</v>
      </c>
    </row>
    <row r="13" spans="1:2" x14ac:dyDescent="0.3">
      <c r="A13" s="3" t="s">
        <v>23</v>
      </c>
      <c r="B13" s="4">
        <v>1</v>
      </c>
    </row>
    <row r="14" spans="1:2" x14ac:dyDescent="0.3">
      <c r="A14" s="3" t="s">
        <v>22</v>
      </c>
      <c r="B14" s="4">
        <v>47</v>
      </c>
    </row>
    <row r="15" spans="1:2" x14ac:dyDescent="0.3">
      <c r="A15" s="3" t="s">
        <v>3</v>
      </c>
      <c r="B15" s="4">
        <v>20</v>
      </c>
    </row>
    <row r="16" spans="1:2" x14ac:dyDescent="0.3">
      <c r="A16" s="3" t="s">
        <v>20</v>
      </c>
      <c r="B16" s="4">
        <v>8</v>
      </c>
    </row>
    <row r="17" spans="1:2" x14ac:dyDescent="0.3">
      <c r="A17" s="3" t="s">
        <v>4</v>
      </c>
      <c r="B17" s="4">
        <v>130</v>
      </c>
    </row>
    <row r="18" spans="1:2" x14ac:dyDescent="0.3">
      <c r="A18" s="3" t="s">
        <v>7</v>
      </c>
      <c r="B18" s="4">
        <v>90</v>
      </c>
    </row>
    <row r="19" spans="1:2" x14ac:dyDescent="0.3">
      <c r="A19" s="3" t="s">
        <v>27</v>
      </c>
      <c r="B19" s="4">
        <v>379</v>
      </c>
    </row>
    <row r="20" spans="1:2" x14ac:dyDescent="0.3">
      <c r="A20" s="3" t="s">
        <v>10</v>
      </c>
      <c r="B20" s="4">
        <v>65</v>
      </c>
    </row>
    <row r="21" spans="1:2" x14ac:dyDescent="0.3">
      <c r="A21" s="3" t="s">
        <v>35</v>
      </c>
      <c r="B21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2" workbookViewId="0">
      <selection activeCell="B13" sqref="B13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style="1" customWidth="1"/>
  </cols>
  <sheetData>
    <row r="1" spans="1:6" x14ac:dyDescent="0.3">
      <c r="A1" t="s">
        <v>0</v>
      </c>
      <c r="B1" t="s">
        <v>1</v>
      </c>
      <c r="C1" s="1" t="s">
        <v>2</v>
      </c>
    </row>
    <row r="2" spans="1:6" x14ac:dyDescent="0.3">
      <c r="A2" t="s">
        <v>5</v>
      </c>
      <c r="B2" t="s">
        <v>6</v>
      </c>
      <c r="C2" s="1">
        <v>21</v>
      </c>
      <c r="E2" t="s">
        <v>29</v>
      </c>
      <c r="F2">
        <f>SUM(C2:C50)</f>
        <v>1582</v>
      </c>
    </row>
    <row r="3" spans="1:6" x14ac:dyDescent="0.3">
      <c r="A3" t="s">
        <v>5</v>
      </c>
      <c r="B3" t="s">
        <v>7</v>
      </c>
      <c r="C3" s="1">
        <v>1</v>
      </c>
      <c r="E3" t="s">
        <v>30</v>
      </c>
      <c r="F3">
        <f>AVERAGE(C2:C50)</f>
        <v>32.285714285714285</v>
      </c>
    </row>
    <row r="4" spans="1:6" x14ac:dyDescent="0.3">
      <c r="A4" t="s">
        <v>5</v>
      </c>
      <c r="B4" t="s">
        <v>4</v>
      </c>
      <c r="C4" s="1">
        <v>23</v>
      </c>
      <c r="E4" t="s">
        <v>31</v>
      </c>
      <c r="F4">
        <f>MIN(C2:C50)</f>
        <v>1</v>
      </c>
    </row>
    <row r="5" spans="1:6" x14ac:dyDescent="0.3">
      <c r="A5" t="s">
        <v>8</v>
      </c>
      <c r="B5" t="s">
        <v>4</v>
      </c>
      <c r="C5" s="1">
        <v>2</v>
      </c>
      <c r="E5" t="s">
        <v>32</v>
      </c>
      <c r="F5">
        <f>MAX(C2:C50)</f>
        <v>379</v>
      </c>
    </row>
    <row r="6" spans="1:6" x14ac:dyDescent="0.3">
      <c r="A6" t="s">
        <v>9</v>
      </c>
      <c r="B6" t="s">
        <v>6</v>
      </c>
      <c r="C6" s="1">
        <v>3</v>
      </c>
      <c r="E6" t="s">
        <v>33</v>
      </c>
      <c r="F6">
        <f>COUNT(C2:C50)</f>
        <v>49</v>
      </c>
    </row>
    <row r="7" spans="1:6" x14ac:dyDescent="0.3">
      <c r="A7" t="s">
        <v>9</v>
      </c>
      <c r="B7" t="s">
        <v>10</v>
      </c>
      <c r="C7" s="1">
        <v>2</v>
      </c>
    </row>
    <row r="8" spans="1:6" x14ac:dyDescent="0.3">
      <c r="A8" t="s">
        <v>9</v>
      </c>
      <c r="B8" t="s">
        <v>11</v>
      </c>
      <c r="C8" s="1">
        <v>1</v>
      </c>
    </row>
    <row r="9" spans="1:6" x14ac:dyDescent="0.3">
      <c r="A9" t="s">
        <v>12</v>
      </c>
      <c r="B9" t="s">
        <v>10</v>
      </c>
      <c r="C9" s="1">
        <v>2</v>
      </c>
    </row>
    <row r="10" spans="1:6" x14ac:dyDescent="0.3">
      <c r="A10" t="s">
        <v>12</v>
      </c>
      <c r="B10" t="s">
        <v>13</v>
      </c>
      <c r="C10" s="1">
        <v>42</v>
      </c>
    </row>
    <row r="11" spans="1:6" x14ac:dyDescent="0.3">
      <c r="A11" t="s">
        <v>12</v>
      </c>
      <c r="B11" t="s">
        <v>7</v>
      </c>
      <c r="C11" s="1">
        <v>1</v>
      </c>
    </row>
    <row r="12" spans="1:6" x14ac:dyDescent="0.3">
      <c r="A12" t="s">
        <v>12</v>
      </c>
      <c r="B12" t="s">
        <v>4</v>
      </c>
      <c r="C12" s="1">
        <v>11</v>
      </c>
    </row>
    <row r="13" spans="1:6" x14ac:dyDescent="0.3">
      <c r="A13" t="s">
        <v>14</v>
      </c>
      <c r="B13" t="s">
        <v>7</v>
      </c>
      <c r="C13" s="1">
        <v>1</v>
      </c>
    </row>
    <row r="14" spans="1:6" x14ac:dyDescent="0.3">
      <c r="A14" t="s">
        <v>15</v>
      </c>
      <c r="B14" t="s">
        <v>16</v>
      </c>
      <c r="C14" s="1">
        <v>9</v>
      </c>
    </row>
    <row r="15" spans="1:6" x14ac:dyDescent="0.3">
      <c r="A15" t="s">
        <v>15</v>
      </c>
      <c r="B15" t="s">
        <v>7</v>
      </c>
      <c r="C15" s="1">
        <v>27</v>
      </c>
    </row>
    <row r="16" spans="1:6" x14ac:dyDescent="0.3">
      <c r="A16" t="s">
        <v>15</v>
      </c>
      <c r="B16" t="s">
        <v>6</v>
      </c>
      <c r="C16" s="1">
        <v>24</v>
      </c>
    </row>
    <row r="17" spans="1:3" x14ac:dyDescent="0.3">
      <c r="A17" t="s">
        <v>15</v>
      </c>
      <c r="B17" t="s">
        <v>10</v>
      </c>
      <c r="C17" s="1">
        <v>1</v>
      </c>
    </row>
    <row r="18" spans="1:3" x14ac:dyDescent="0.3">
      <c r="A18" t="s">
        <v>15</v>
      </c>
      <c r="B18" t="s">
        <v>4</v>
      </c>
      <c r="C18" s="1">
        <v>48</v>
      </c>
    </row>
    <row r="19" spans="1:3" x14ac:dyDescent="0.3">
      <c r="A19" t="s">
        <v>17</v>
      </c>
      <c r="B19" t="s">
        <v>10</v>
      </c>
      <c r="C19" s="1">
        <v>1</v>
      </c>
    </row>
    <row r="20" spans="1:3" x14ac:dyDescent="0.3">
      <c r="A20" t="s">
        <v>18</v>
      </c>
      <c r="B20" t="s">
        <v>4</v>
      </c>
      <c r="C20" s="1">
        <v>6</v>
      </c>
    </row>
    <row r="21" spans="1:3" x14ac:dyDescent="0.3">
      <c r="A21" t="s">
        <v>18</v>
      </c>
      <c r="B21" t="s">
        <v>6</v>
      </c>
      <c r="C21" s="1">
        <v>5</v>
      </c>
    </row>
    <row r="22" spans="1:3" x14ac:dyDescent="0.3">
      <c r="A22" t="s">
        <v>18</v>
      </c>
      <c r="B22" t="s">
        <v>7</v>
      </c>
      <c r="C22" s="1">
        <v>2</v>
      </c>
    </row>
    <row r="23" spans="1:3" x14ac:dyDescent="0.3">
      <c r="A23" t="s">
        <v>18</v>
      </c>
      <c r="B23" t="s">
        <v>10</v>
      </c>
      <c r="C23" s="1">
        <v>15</v>
      </c>
    </row>
    <row r="24" spans="1:3" x14ac:dyDescent="0.3">
      <c r="A24" t="s">
        <v>18</v>
      </c>
      <c r="B24" t="s">
        <v>28</v>
      </c>
      <c r="C24" s="1">
        <v>7</v>
      </c>
    </row>
    <row r="25" spans="1:3" x14ac:dyDescent="0.3">
      <c r="A25" t="s">
        <v>19</v>
      </c>
      <c r="B25" t="s">
        <v>3</v>
      </c>
      <c r="C25" s="1">
        <v>20</v>
      </c>
    </row>
    <row r="26" spans="1:3" x14ac:dyDescent="0.3">
      <c r="A26" t="s">
        <v>19</v>
      </c>
      <c r="B26" t="s">
        <v>4</v>
      </c>
      <c r="C26" s="1">
        <v>1</v>
      </c>
    </row>
    <row r="27" spans="1:3" x14ac:dyDescent="0.3">
      <c r="A27" t="s">
        <v>19</v>
      </c>
      <c r="B27" t="s">
        <v>11</v>
      </c>
      <c r="C27" s="1">
        <v>1</v>
      </c>
    </row>
    <row r="28" spans="1:3" x14ac:dyDescent="0.3">
      <c r="A28" t="s">
        <v>19</v>
      </c>
      <c r="B28" t="s">
        <v>6</v>
      </c>
      <c r="C28" s="1">
        <v>3</v>
      </c>
    </row>
    <row r="29" spans="1:3" x14ac:dyDescent="0.3">
      <c r="A29" t="s">
        <v>19</v>
      </c>
      <c r="B29" t="s">
        <v>7</v>
      </c>
      <c r="C29" s="1">
        <v>1</v>
      </c>
    </row>
    <row r="30" spans="1:3" x14ac:dyDescent="0.3">
      <c r="A30" t="s">
        <v>19</v>
      </c>
      <c r="B30" t="s">
        <v>20</v>
      </c>
      <c r="C30" s="1">
        <v>8</v>
      </c>
    </row>
    <row r="31" spans="1:3" x14ac:dyDescent="0.3">
      <c r="A31" t="s">
        <v>19</v>
      </c>
      <c r="B31" t="s">
        <v>21</v>
      </c>
      <c r="C31" s="1">
        <v>4</v>
      </c>
    </row>
    <row r="32" spans="1:3" x14ac:dyDescent="0.3">
      <c r="A32" t="s">
        <v>19</v>
      </c>
      <c r="B32" t="s">
        <v>22</v>
      </c>
      <c r="C32" s="1">
        <v>46</v>
      </c>
    </row>
    <row r="33" spans="1:3" x14ac:dyDescent="0.3">
      <c r="A33" t="s">
        <v>19</v>
      </c>
      <c r="B33" t="s">
        <v>23</v>
      </c>
      <c r="C33" s="1">
        <v>1</v>
      </c>
    </row>
    <row r="34" spans="1:3" x14ac:dyDescent="0.3">
      <c r="A34" t="s">
        <v>24</v>
      </c>
      <c r="B34" t="s">
        <v>22</v>
      </c>
      <c r="C34" s="1">
        <v>1</v>
      </c>
    </row>
    <row r="35" spans="1:3" x14ac:dyDescent="0.3">
      <c r="A35" t="s">
        <v>24</v>
      </c>
      <c r="B35" t="s">
        <v>10</v>
      </c>
      <c r="C35" s="1">
        <v>1</v>
      </c>
    </row>
    <row r="36" spans="1:3" x14ac:dyDescent="0.3">
      <c r="A36" t="s">
        <v>24</v>
      </c>
      <c r="B36" t="s">
        <v>7</v>
      </c>
      <c r="C36" s="1">
        <v>1</v>
      </c>
    </row>
    <row r="37" spans="1:3" x14ac:dyDescent="0.3">
      <c r="A37" t="s">
        <v>24</v>
      </c>
      <c r="B37" t="s">
        <v>4</v>
      </c>
      <c r="C37" s="1">
        <v>2</v>
      </c>
    </row>
    <row r="38" spans="1:3" x14ac:dyDescent="0.3">
      <c r="A38" t="s">
        <v>25</v>
      </c>
      <c r="B38" t="s">
        <v>6</v>
      </c>
      <c r="C38" s="1">
        <v>1</v>
      </c>
    </row>
    <row r="39" spans="1:3" x14ac:dyDescent="0.3">
      <c r="A39" t="s">
        <v>25</v>
      </c>
      <c r="B39" t="s">
        <v>16</v>
      </c>
      <c r="C39" s="1">
        <v>1</v>
      </c>
    </row>
    <row r="40" spans="1:3" x14ac:dyDescent="0.3">
      <c r="A40" t="s">
        <v>25</v>
      </c>
      <c r="B40" t="s">
        <v>10</v>
      </c>
      <c r="C40" s="1">
        <v>11</v>
      </c>
    </row>
    <row r="41" spans="1:3" x14ac:dyDescent="0.3">
      <c r="A41" t="s">
        <v>25</v>
      </c>
      <c r="B41" t="s">
        <v>7</v>
      </c>
      <c r="C41" s="1">
        <v>3</v>
      </c>
    </row>
    <row r="42" spans="1:3" x14ac:dyDescent="0.3">
      <c r="A42" t="s">
        <v>26</v>
      </c>
      <c r="B42" t="s">
        <v>6</v>
      </c>
      <c r="C42" s="1">
        <v>93</v>
      </c>
    </row>
    <row r="43" spans="1:3" x14ac:dyDescent="0.3">
      <c r="A43" t="s">
        <v>26</v>
      </c>
      <c r="B43" t="s">
        <v>13</v>
      </c>
      <c r="C43" s="1">
        <v>248</v>
      </c>
    </row>
    <row r="44" spans="1:3" x14ac:dyDescent="0.3">
      <c r="A44" t="s">
        <v>26</v>
      </c>
      <c r="B44" t="s">
        <v>27</v>
      </c>
      <c r="C44" s="1">
        <v>379</v>
      </c>
    </row>
    <row r="45" spans="1:3" x14ac:dyDescent="0.3">
      <c r="A45" t="s">
        <v>26</v>
      </c>
      <c r="B45" t="s">
        <v>7</v>
      </c>
      <c r="C45" s="1">
        <v>53</v>
      </c>
    </row>
    <row r="46" spans="1:3" x14ac:dyDescent="0.3">
      <c r="A46" t="s">
        <v>26</v>
      </c>
      <c r="B46" t="s">
        <v>10</v>
      </c>
      <c r="C46" s="1">
        <v>32</v>
      </c>
    </row>
    <row r="47" spans="1:3" x14ac:dyDescent="0.3">
      <c r="A47" t="s">
        <v>26</v>
      </c>
      <c r="B47" t="s">
        <v>11</v>
      </c>
      <c r="C47" s="1">
        <v>98</v>
      </c>
    </row>
    <row r="48" spans="1:3" x14ac:dyDescent="0.3">
      <c r="A48" t="s">
        <v>26</v>
      </c>
      <c r="B48" t="s">
        <v>28</v>
      </c>
      <c r="C48" s="1">
        <v>276</v>
      </c>
    </row>
    <row r="49" spans="1:3" x14ac:dyDescent="0.3">
      <c r="A49" t="s">
        <v>26</v>
      </c>
      <c r="B49" t="s">
        <v>16</v>
      </c>
      <c r="C49" s="1">
        <v>5</v>
      </c>
    </row>
    <row r="50" spans="1:3" x14ac:dyDescent="0.3">
      <c r="A50" t="s">
        <v>26</v>
      </c>
      <c r="B50" t="s">
        <v>4</v>
      </c>
      <c r="C50" s="1">
        <v>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1</vt:lpstr>
      <vt:lpstr>Pivot Table 2</vt:lpstr>
      <vt:lpstr>Pivot Table 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Flieder</dc:creator>
  <cp:lastModifiedBy>Joshua Flieder</cp:lastModifiedBy>
  <dcterms:created xsi:type="dcterms:W3CDTF">2020-09-01T17:18:12Z</dcterms:created>
  <dcterms:modified xsi:type="dcterms:W3CDTF">2022-06-13T19:26:57Z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</vt:lpwstr>
  </property>
</Properties>
</file>